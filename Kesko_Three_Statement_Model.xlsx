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Income Statement" sheetId="2" state="visible" r:id="rId4"/>
    <sheet name="Balance Sheet" sheetId="3" state="visible" r:id="rId5"/>
    <sheet name="Cash Flow" sheetId="4" state="visible" r:id="rId6"/>
    <sheet name="Key Metric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<sst xmlns="http://schemas.openxmlformats.org/spreadsheetml/2006/main" count="117" uniqueCount="91">
  <si>
    <t xml:space="preserve">KESKO CORPORATION - ASSUMPTIONS</t>
  </si>
  <si>
    <t xml:space="preserve">Blue cells = editable inputs</t>
  </si>
  <si>
    <t xml:space="preserve">2024A</t>
  </si>
  <si>
    <t xml:space="preserve">2025E</t>
  </si>
  <si>
    <t xml:space="preserve">2026E</t>
  </si>
  <si>
    <t xml:space="preserve">2027E</t>
  </si>
  <si>
    <t xml:space="preserve">2028E</t>
  </si>
  <si>
    <t xml:space="preserve">2029E</t>
  </si>
  <si>
    <t xml:space="preserve">REVENUE GROWTH</t>
  </si>
  <si>
    <t xml:space="preserve">Grocery Trade Growth</t>
  </si>
  <si>
    <t xml:space="preserve">Building &amp; Technical Growth</t>
  </si>
  <si>
    <t xml:space="preserve">Car Trade Growth</t>
  </si>
  <si>
    <t xml:space="preserve">SEGMENT MARGINS</t>
  </si>
  <si>
    <t xml:space="preserve">Grocery Trade Margin</t>
  </si>
  <si>
    <t xml:space="preserve">Building &amp; Technical Margin</t>
  </si>
  <si>
    <t xml:space="preserve">Car Trade Margin</t>
  </si>
  <si>
    <t xml:space="preserve">OPERATING</t>
  </si>
  <si>
    <t xml:space="preserve">SG&amp;A % Revenue</t>
  </si>
  <si>
    <t xml:space="preserve">D&amp;A % Revenue</t>
  </si>
  <si>
    <t xml:space="preserve">Tax Rate</t>
  </si>
  <si>
    <t xml:space="preserve">Interest Rate</t>
  </si>
  <si>
    <t xml:space="preserve">WORKING CAPITAL</t>
  </si>
  <si>
    <t xml:space="preserve">DSO (days)</t>
  </si>
  <si>
    <t xml:space="preserve">DIO (days)</t>
  </si>
  <si>
    <t xml:space="preserve">DPO (days)</t>
  </si>
  <si>
    <t xml:space="preserve">CAPITAL ALLOCATION</t>
  </si>
  <si>
    <t xml:space="preserve">CapEx % Revenue</t>
  </si>
  <si>
    <t xml:space="preserve">Dividend Payout</t>
  </si>
  <si>
    <t xml:space="preserve">INCOME STATEMENT (€M)</t>
  </si>
  <si>
    <t xml:space="preserve">Revenue</t>
  </si>
  <si>
    <t xml:space="preserve">  Grocery Trade</t>
  </si>
  <si>
    <t xml:space="preserve">  Building &amp; Technical</t>
  </si>
  <si>
    <t xml:space="preserve">  Car Trade</t>
  </si>
  <si>
    <t xml:space="preserve">Revenue Growth</t>
  </si>
  <si>
    <t xml:space="preserve">Gross Profit</t>
  </si>
  <si>
    <t xml:space="preserve">SG&amp;A Expenses</t>
  </si>
  <si>
    <t xml:space="preserve">Depreciation &amp; Amortization</t>
  </si>
  <si>
    <t xml:space="preserve">Operating Profit (EBIT)</t>
  </si>
  <si>
    <t xml:space="preserve">EBITDA</t>
  </si>
  <si>
    <t xml:space="preserve">Interest Expense</t>
  </si>
  <si>
    <t xml:space="preserve">Profit Before Tax</t>
  </si>
  <si>
    <t xml:space="preserve">Income Tax</t>
  </si>
  <si>
    <t xml:space="preserve">Net Profit</t>
  </si>
  <si>
    <t xml:space="preserve">BALANCE SHEET (€M)</t>
  </si>
  <si>
    <t xml:space="preserve">ASSETS</t>
  </si>
  <si>
    <t xml:space="preserve">Property, Plant &amp; Equipment</t>
  </si>
  <si>
    <t xml:space="preserve">Other Non-Current Assets</t>
  </si>
  <si>
    <t xml:space="preserve">Total Non-Current Assets</t>
  </si>
  <si>
    <t xml:space="preserve">Inventories</t>
  </si>
  <si>
    <t xml:space="preserve">Trade Receivables</t>
  </si>
  <si>
    <t xml:space="preserve">Cash &amp; Equivalents</t>
  </si>
  <si>
    <t xml:space="preserve">Other Current Assets</t>
  </si>
  <si>
    <t xml:space="preserve">Total Current Assets</t>
  </si>
  <si>
    <t xml:space="preserve">TOTAL ASSETS</t>
  </si>
  <si>
    <t xml:space="preserve">EQUITY &amp; LIABILITIES</t>
  </si>
  <si>
    <t xml:space="preserve">Share Capital</t>
  </si>
  <si>
    <t xml:space="preserve">Retained Earnings</t>
  </si>
  <si>
    <t xml:space="preserve">Other Equity</t>
  </si>
  <si>
    <t xml:space="preserve">Total Equity</t>
  </si>
  <si>
    <t xml:space="preserve">Lease Obligations</t>
  </si>
  <si>
    <t xml:space="preserve">Trade Payables</t>
  </si>
  <si>
    <t xml:space="preserve">Other Liabilities</t>
  </si>
  <si>
    <t xml:space="preserve">Long-Term Debt (Plug)</t>
  </si>
  <si>
    <t xml:space="preserve">TOTAL EQUITY &amp; LIABILITIES</t>
  </si>
  <si>
    <t xml:space="preserve">Balance Check (=0)</t>
  </si>
  <si>
    <t xml:space="preserve">CASH FLOW STATEMENT (€M)</t>
  </si>
  <si>
    <t xml:space="preserve">OPERATING ACTIVITIES</t>
  </si>
  <si>
    <t xml:space="preserve">(+) Depreciation &amp; Amortization</t>
  </si>
  <si>
    <t xml:space="preserve">(-) Working Capital Changes</t>
  </si>
  <si>
    <t xml:space="preserve">Cash from Operations</t>
  </si>
  <si>
    <t xml:space="preserve">INVESTING ACTIVITIES</t>
  </si>
  <si>
    <t xml:space="preserve">Capital Expenditure</t>
  </si>
  <si>
    <t xml:space="preserve">Cash from Investing</t>
  </si>
  <si>
    <t xml:space="preserve">FINANCING ACTIVITIES</t>
  </si>
  <si>
    <t xml:space="preserve">Dividends Paid</t>
  </si>
  <si>
    <t xml:space="preserve">Cash from Financing</t>
  </si>
  <si>
    <t xml:space="preserve">Net Change in Cash</t>
  </si>
  <si>
    <t xml:space="preserve">FREE CASH FLOW</t>
  </si>
  <si>
    <t xml:space="preserve">Free Cash Flow</t>
  </si>
  <si>
    <t xml:space="preserve">KEY FINANCIAL METRICS</t>
  </si>
  <si>
    <t xml:space="preserve">PROFITABILITY</t>
  </si>
  <si>
    <t xml:space="preserve">Operating Margin</t>
  </si>
  <si>
    <t xml:space="preserve">Net Profit Margin</t>
  </si>
  <si>
    <t xml:space="preserve">RETURNS</t>
  </si>
  <si>
    <t xml:space="preserve">Return on Equity (ROE)</t>
  </si>
  <si>
    <t xml:space="preserve">Return on Assets (ROA)</t>
  </si>
  <si>
    <t xml:space="preserve">LEVERAGE</t>
  </si>
  <si>
    <t xml:space="preserve">Net Debt / EBITDA</t>
  </si>
  <si>
    <t xml:space="preserve">Debt / Equity</t>
  </si>
  <si>
    <t xml:space="preserve">CASH</t>
  </si>
  <si>
    <t xml:space="preserve">Free Cash Flow (€M)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</si>
</sst>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"/>
    <numFmt numFmtId="167" formatCode="#,##0;\(#,##0\)"/>
    <numFmt numFmtId="168" formatCode="0.0\x"/>
    <numFmt numFmtId="169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5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E8F4FD"/>
        <bgColor rgb="FFFFFFFF"/>
      </patternFill>
    </fill>
    <fill>
      <patternFill patternType="solid">
        <fgColor rgb="FFFFFACD"/>
        <bgColor rgb="FFFFFFFF"/>
      </patternFill>
    </fill>
    <fill>
      <patternFill patternType="solid">
        <fgColor rgb="FFD4EDDA"/>
        <bgColor rgb="FFE8F4F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ACD"/>
      <rgbColor rgb="FFE8F4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customFormat="false" ht="15" hidden="false" customHeight="false" outlineLevel="0" collapsed="false">
      <c r="A5" s="4" t="s">
        <v>8</v>
      </c>
    </row>
    <row r="6" customFormat="false" ht="15" hidden="false" customHeight="false" outlineLevel="0" collapsed="false">
      <c r="A6" s="0" t="s">
        <v>9</v>
      </c>
      <c r="B6" s="5" t="n">
        <v>-0.009</v>
      </c>
      <c r="C6" s="6" t="n">
        <v>0.015</v>
      </c>
      <c r="D6" s="6" t="n">
        <v>0.02</v>
      </c>
      <c r="E6" s="6" t="n">
        <v>0.025</v>
      </c>
      <c r="F6" s="6" t="n">
        <v>0.03</v>
      </c>
      <c r="G6" s="6" t="n">
        <v>0.03</v>
      </c>
    </row>
    <row r="7" customFormat="false" ht="15" hidden="false" customHeight="false" outlineLevel="0" collapsed="false">
      <c r="A7" s="0" t="s">
        <v>10</v>
      </c>
      <c r="B7" s="5" t="n">
        <v>-0.025</v>
      </c>
      <c r="C7" s="6" t="n">
        <v>0.005</v>
      </c>
      <c r="D7" s="6" t="n">
        <v>0.015</v>
      </c>
      <c r="E7" s="6" t="n">
        <v>0.02</v>
      </c>
      <c r="F7" s="6" t="n">
        <v>0.025</v>
      </c>
      <c r="G7" s="6" t="n">
        <v>0.025</v>
      </c>
    </row>
    <row r="8" customFormat="false" ht="15" hidden="false" customHeight="false" outlineLevel="0" collapsed="false">
      <c r="A8" s="0" t="s">
        <v>11</v>
      </c>
      <c r="B8" s="5" t="n">
        <v>-0.05</v>
      </c>
      <c r="C8" s="6" t="n">
        <v>-0.02</v>
      </c>
      <c r="D8" s="6" t="n">
        <v>0</v>
      </c>
      <c r="E8" s="6" t="n">
        <v>0.015</v>
      </c>
      <c r="F8" s="6" t="n">
        <v>0.02</v>
      </c>
      <c r="G8" s="6" t="n">
        <v>0.02</v>
      </c>
    </row>
    <row r="10" customFormat="false" ht="15" hidden="false" customHeight="false" outlineLevel="0" collapsed="false">
      <c r="A10" s="4" t="s">
        <v>12</v>
      </c>
    </row>
    <row r="11" customFormat="false" ht="15" hidden="false" customHeight="false" outlineLevel="0" collapsed="false">
      <c r="A11" s="0" t="s">
        <v>13</v>
      </c>
      <c r="B11" s="5" t="n">
        <v>0.052</v>
      </c>
      <c r="C11" s="6" t="n">
        <v>0.053</v>
      </c>
      <c r="D11" s="6" t="n">
        <v>0.054</v>
      </c>
      <c r="E11" s="6" t="n">
        <v>0.055</v>
      </c>
      <c r="F11" s="6" t="n">
        <v>0.056</v>
      </c>
      <c r="G11" s="6" t="n">
        <v>0.056</v>
      </c>
    </row>
    <row r="12" customFormat="false" ht="15" hidden="false" customHeight="false" outlineLevel="0" collapsed="false">
      <c r="A12" s="0" t="s">
        <v>14</v>
      </c>
      <c r="B12" s="5" t="n">
        <v>0.038</v>
      </c>
      <c r="C12" s="6" t="n">
        <v>0.04</v>
      </c>
      <c r="D12" s="6" t="n">
        <v>0.042</v>
      </c>
      <c r="E12" s="6" t="n">
        <v>0.044</v>
      </c>
      <c r="F12" s="6" t="n">
        <v>0.045</v>
      </c>
      <c r="G12" s="6" t="n">
        <v>0.045</v>
      </c>
    </row>
    <row r="13" customFormat="false" ht="15" hidden="false" customHeight="false" outlineLevel="0" collapsed="false">
      <c r="A13" s="0" t="s">
        <v>15</v>
      </c>
      <c r="B13" s="5" t="n">
        <v>0.029</v>
      </c>
      <c r="C13" s="6" t="n">
        <v>0.03</v>
      </c>
      <c r="D13" s="6" t="n">
        <v>0.031</v>
      </c>
      <c r="E13" s="6" t="n">
        <v>0.032</v>
      </c>
      <c r="F13" s="6" t="n">
        <v>0.033</v>
      </c>
      <c r="G13" s="6" t="n">
        <v>0.033</v>
      </c>
    </row>
    <row r="15" customFormat="false" ht="15" hidden="false" customHeight="false" outlineLevel="0" collapsed="false">
      <c r="A15" s="4" t="s">
        <v>16</v>
      </c>
    </row>
    <row r="16" customFormat="false" ht="15" hidden="false" customHeight="false" outlineLevel="0" collapsed="false">
      <c r="A16" s="0" t="s">
        <v>17</v>
      </c>
      <c r="B16" s="5" t="n">
        <v>0.158</v>
      </c>
      <c r="C16" s="6" t="n">
        <v>0.155</v>
      </c>
      <c r="D16" s="6" t="n">
        <v>0.153</v>
      </c>
      <c r="E16" s="6" t="n">
        <v>0.151</v>
      </c>
      <c r="F16" s="6" t="n">
        <v>0.15</v>
      </c>
      <c r="G16" s="6" t="n">
        <v>0.15</v>
      </c>
    </row>
    <row r="17" customFormat="false" ht="15" hidden="false" customHeight="false" outlineLevel="0" collapsed="false">
      <c r="A17" s="0" t="s">
        <v>18</v>
      </c>
      <c r="B17" s="5" t="n">
        <v>0.035</v>
      </c>
      <c r="C17" s="6" t="n">
        <v>0.035</v>
      </c>
      <c r="D17" s="6" t="n">
        <v>0.034</v>
      </c>
      <c r="E17" s="6" t="n">
        <v>0.034</v>
      </c>
      <c r="F17" s="6" t="n">
        <v>0.033</v>
      </c>
      <c r="G17" s="6" t="n">
        <v>0.033</v>
      </c>
    </row>
    <row r="18" customFormat="false" ht="15" hidden="false" customHeight="false" outlineLevel="0" collapsed="false">
      <c r="A18" s="0" t="s">
        <v>19</v>
      </c>
      <c r="B18" s="5" t="n">
        <v>0.2</v>
      </c>
      <c r="C18" s="6" t="n">
        <v>0.2</v>
      </c>
      <c r="D18" s="6" t="n">
        <v>0.2</v>
      </c>
      <c r="E18" s="6" t="n">
        <v>0.2</v>
      </c>
      <c r="F18" s="6" t="n">
        <v>0.2</v>
      </c>
      <c r="G18" s="6" t="n">
        <v>0.2</v>
      </c>
    </row>
    <row r="19" customFormat="false" ht="15" hidden="false" customHeight="false" outlineLevel="0" collapsed="false">
      <c r="A19" s="0" t="s">
        <v>20</v>
      </c>
      <c r="B19" s="5" t="n">
        <v>0.045</v>
      </c>
      <c r="C19" s="6" t="n">
        <v>0.045</v>
      </c>
      <c r="D19" s="6" t="n">
        <v>0.043</v>
      </c>
      <c r="E19" s="6" t="n">
        <v>0.041</v>
      </c>
      <c r="F19" s="6" t="n">
        <v>0.04</v>
      </c>
      <c r="G19" s="6" t="n">
        <v>0.04</v>
      </c>
    </row>
    <row r="21" customFormat="false" ht="15" hidden="false" customHeight="false" outlineLevel="0" collapsed="false">
      <c r="A21" s="4" t="s">
        <v>21</v>
      </c>
    </row>
    <row r="22" customFormat="false" ht="15" hidden="false" customHeight="false" outlineLevel="0" collapsed="false">
      <c r="A22" s="0" t="s">
        <v>22</v>
      </c>
      <c r="B22" s="7" t="n">
        <v>21</v>
      </c>
      <c r="C22" s="8" t="n">
        <v>21</v>
      </c>
      <c r="D22" s="8" t="n">
        <v>21</v>
      </c>
      <c r="E22" s="8" t="n">
        <v>20</v>
      </c>
      <c r="F22" s="8" t="n">
        <v>20</v>
      </c>
      <c r="G22" s="8" t="n">
        <v>20</v>
      </c>
    </row>
    <row r="23" customFormat="false" ht="15" hidden="false" customHeight="false" outlineLevel="0" collapsed="false">
      <c r="A23" s="0" t="s">
        <v>23</v>
      </c>
      <c r="B23" s="7" t="n">
        <v>33</v>
      </c>
      <c r="C23" s="8" t="n">
        <v>33</v>
      </c>
      <c r="D23" s="8" t="n">
        <v>32</v>
      </c>
      <c r="E23" s="8" t="n">
        <v>32</v>
      </c>
      <c r="F23" s="8" t="n">
        <v>31</v>
      </c>
      <c r="G23" s="8" t="n">
        <v>31</v>
      </c>
    </row>
    <row r="24" customFormat="false" ht="15" hidden="false" customHeight="false" outlineLevel="0" collapsed="false">
      <c r="A24" s="0" t="s">
        <v>24</v>
      </c>
      <c r="B24" s="7" t="n">
        <v>38</v>
      </c>
      <c r="C24" s="8" t="n">
        <v>38</v>
      </c>
      <c r="D24" s="8" t="n">
        <v>38</v>
      </c>
      <c r="E24" s="8" t="n">
        <v>39</v>
      </c>
      <c r="F24" s="8" t="n">
        <v>39</v>
      </c>
      <c r="G24" s="8" t="n">
        <v>40</v>
      </c>
    </row>
    <row r="26" customFormat="false" ht="15" hidden="false" customHeight="false" outlineLevel="0" collapsed="false">
      <c r="A26" s="4" t="s">
        <v>25</v>
      </c>
    </row>
    <row r="27" customFormat="false" ht="15" hidden="false" customHeight="false" outlineLevel="0" collapsed="false">
      <c r="A27" s="0" t="s">
        <v>26</v>
      </c>
      <c r="B27" s="5" t="n">
        <v>0.033</v>
      </c>
      <c r="C27" s="6" t="n">
        <v>0.033</v>
      </c>
      <c r="D27" s="6" t="n">
        <v>0.032</v>
      </c>
      <c r="E27" s="6" t="n">
        <v>0.031</v>
      </c>
      <c r="F27" s="6" t="n">
        <v>0.03</v>
      </c>
      <c r="G27" s="6" t="n">
        <v>0.03</v>
      </c>
    </row>
    <row r="28" customFormat="false" ht="15" hidden="false" customHeight="false" outlineLevel="0" collapsed="false">
      <c r="A28" s="0" t="s">
        <v>27</v>
      </c>
      <c r="B28" s="5" t="n">
        <v>0.8</v>
      </c>
      <c r="C28" s="6" t="n">
        <v>0.8</v>
      </c>
      <c r="D28" s="6" t="n">
        <v>0.8</v>
      </c>
      <c r="E28" s="6" t="n">
        <v>0.75</v>
      </c>
      <c r="F28" s="6" t="n">
        <v>0.75</v>
      </c>
      <c r="G28" s="6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1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customFormat="false" ht="15" hidden="false" customHeight="false" outlineLevel="0" collapsed="false">
      <c r="A4" s="9" t="s">
        <v>29</v>
      </c>
      <c r="B4" s="10" t="n">
        <v>11857</v>
      </c>
      <c r="C4" s="10" t="n">
        <f aca="false">C5+C6+C7</f>
        <v>11955.405</v>
      </c>
      <c r="D4" s="10" t="n">
        <f aca="false">D5+D6+D7</f>
        <v>12152.20265</v>
      </c>
      <c r="E4" s="10" t="n">
        <f aca="false">E5+E6+E7</f>
        <v>12425.0340935</v>
      </c>
      <c r="F4" s="10" t="n">
        <f aca="false">F5+F6+F7</f>
        <v>12766.2501351</v>
      </c>
      <c r="G4" s="10" t="n">
        <f aca="false">G5+G6+G7</f>
        <v>13116.9732691279</v>
      </c>
    </row>
    <row r="5" customFormat="false" ht="15" hidden="false" customHeight="false" outlineLevel="0" collapsed="false">
      <c r="A5" s="0" t="s">
        <v>30</v>
      </c>
      <c r="B5" s="10" t="n">
        <v>6877</v>
      </c>
      <c r="C5" s="11" t="n">
        <f aca="false">B5*(1+Assumptions!C6)</f>
        <v>6980.155</v>
      </c>
      <c r="D5" s="11" t="n">
        <f aca="false">C5*(1+Assumptions!D6)</f>
        <v>7119.7581</v>
      </c>
      <c r="E5" s="11" t="n">
        <f aca="false">D5*(1+Assumptions!E6)</f>
        <v>7297.7520525</v>
      </c>
      <c r="F5" s="11" t="n">
        <f aca="false">E5*(1+Assumptions!F6)</f>
        <v>7516.684614075</v>
      </c>
      <c r="G5" s="11" t="n">
        <f aca="false">F5*(1+Assumptions!G6)</f>
        <v>7742.18515249725</v>
      </c>
    </row>
    <row r="6" customFormat="false" ht="15" hidden="false" customHeight="false" outlineLevel="0" collapsed="false">
      <c r="A6" s="0" t="s">
        <v>31</v>
      </c>
      <c r="B6" s="10" t="n">
        <v>3794</v>
      </c>
      <c r="C6" s="11" t="n">
        <f aca="false">B6*(1+Assumptions!C7)</f>
        <v>3812.97</v>
      </c>
      <c r="D6" s="11" t="n">
        <f aca="false">C6*(1+Assumptions!D7)</f>
        <v>3870.16455</v>
      </c>
      <c r="E6" s="11" t="n">
        <f aca="false">D6*(1+Assumptions!E7)</f>
        <v>3947.567841</v>
      </c>
      <c r="F6" s="11" t="n">
        <f aca="false">E6*(1+Assumptions!F7)</f>
        <v>4046.257037025</v>
      </c>
      <c r="G6" s="11" t="n">
        <f aca="false">F6*(1+Assumptions!G7)</f>
        <v>4147.41346295062</v>
      </c>
    </row>
    <row r="7" customFormat="false" ht="15" hidden="false" customHeight="false" outlineLevel="0" collapsed="false">
      <c r="A7" s="0" t="s">
        <v>32</v>
      </c>
      <c r="B7" s="10" t="n">
        <v>1186</v>
      </c>
      <c r="C7" s="11" t="n">
        <f aca="false">B7*(1+Assumptions!C8)</f>
        <v>1162.28</v>
      </c>
      <c r="D7" s="11" t="n">
        <f aca="false">C7*(1+Assumptions!D8)</f>
        <v>1162.28</v>
      </c>
      <c r="E7" s="11" t="n">
        <f aca="false">D7*(1+Assumptions!E8)</f>
        <v>1179.7142</v>
      </c>
      <c r="F7" s="11" t="n">
        <f aca="false">E7*(1+Assumptions!F8)</f>
        <v>1203.308484</v>
      </c>
      <c r="G7" s="11" t="n">
        <f aca="false">F7*(1+Assumptions!G8)</f>
        <v>1227.37465368</v>
      </c>
    </row>
    <row r="8" customFormat="false" ht="15" hidden="false" customHeight="false" outlineLevel="0" collapsed="false">
      <c r="A8" s="0" t="s">
        <v>33</v>
      </c>
      <c r="B8" s="5" t="n">
        <v>-0.009</v>
      </c>
      <c r="C8" s="5" t="n">
        <f aca="false">(C4-B4)/B4</f>
        <v>0.00829931685923932</v>
      </c>
      <c r="D8" s="5" t="n">
        <f aca="false">(D4-C4)/C4</f>
        <v>0.0164609772734592</v>
      </c>
      <c r="E8" s="5" t="n">
        <f aca="false">(E4-D4)/D4</f>
        <v>0.0224511927062044</v>
      </c>
      <c r="F8" s="5" t="n">
        <f aca="false">(F4-E4)/E4</f>
        <v>0.0274619803078449</v>
      </c>
      <c r="G8" s="5" t="n">
        <f aca="false">(G4-F4)/F4</f>
        <v>0.0274726822924756</v>
      </c>
    </row>
    <row r="10" customFormat="false" ht="15" hidden="false" customHeight="false" outlineLevel="0" collapsed="false">
      <c r="A10" s="9" t="s">
        <v>34</v>
      </c>
      <c r="B10" s="10" t="n">
        <v>2404</v>
      </c>
      <c r="C10" s="11" t="n">
        <f aca="false">C5*Assumptions!C11+C6*Assumptions!C12+C7*Assumptions!C13</f>
        <v>557.335415</v>
      </c>
      <c r="D10" s="11" t="n">
        <f aca="false">D5*Assumptions!D11+D6*Assumptions!D12+D7*Assumptions!D13</f>
        <v>583.0445285</v>
      </c>
      <c r="E10" s="11" t="n">
        <f aca="false">E5*Assumptions!E11+E6*Assumptions!E12+E7*Assumptions!E13</f>
        <v>612.8202022915</v>
      </c>
      <c r="F10" s="11" t="n">
        <f aca="false">F5*Assumptions!F11+F6*Assumptions!F12+F7*Assumptions!F13</f>
        <v>642.725085026325</v>
      </c>
      <c r="G10" s="11" t="n">
        <f aca="false">G5*Assumptions!G11+G6*Assumptions!G12+G7*Assumptions!G13</f>
        <v>660.699337944064</v>
      </c>
    </row>
    <row r="11" customFormat="false" ht="15" hidden="false" customHeight="false" outlineLevel="0" collapsed="false">
      <c r="A11" s="0" t="s">
        <v>35</v>
      </c>
      <c r="B11" s="10" t="n">
        <v>-1466</v>
      </c>
      <c r="C11" s="11" t="n">
        <f aca="false">-C4*Assumptions!C16</f>
        <v>-1853.087775</v>
      </c>
      <c r="D11" s="11" t="n">
        <f aca="false">-D4*Assumptions!D16</f>
        <v>-1859.28700545</v>
      </c>
      <c r="E11" s="11" t="n">
        <f aca="false">-E4*Assumptions!E16</f>
        <v>-1876.1801481185</v>
      </c>
      <c r="F11" s="11" t="n">
        <f aca="false">-F4*Assumptions!F16</f>
        <v>-1914.937520265</v>
      </c>
      <c r="G11" s="11" t="n">
        <f aca="false">-G4*Assumptions!G16</f>
        <v>-1967.54599036918</v>
      </c>
    </row>
    <row r="12" customFormat="false" ht="15" hidden="false" customHeight="false" outlineLevel="0" collapsed="false">
      <c r="A12" s="0" t="s">
        <v>36</v>
      </c>
      <c r="B12" s="10" t="n">
        <v>-412</v>
      </c>
      <c r="C12" s="11" t="n">
        <f aca="false">-C4*Assumptions!C17</f>
        <v>-418.439175</v>
      </c>
      <c r="D12" s="11" t="n">
        <f aca="false">-D4*Assumptions!D17</f>
        <v>-413.1748901</v>
      </c>
      <c r="E12" s="11" t="n">
        <f aca="false">-E4*Assumptions!E17</f>
        <v>-422.451159179</v>
      </c>
      <c r="F12" s="11" t="n">
        <f aca="false">-F4*Assumptions!F17</f>
        <v>-421.2862544583</v>
      </c>
      <c r="G12" s="11" t="n">
        <f aca="false">-G4*Assumptions!G17</f>
        <v>-432.86011788122</v>
      </c>
    </row>
    <row r="14" customFormat="false" ht="15" hidden="false" customHeight="false" outlineLevel="0" collapsed="false">
      <c r="A14" s="12" t="s">
        <v>37</v>
      </c>
      <c r="B14" s="13" t="n">
        <f aca="false">B10+B11+B12</f>
        <v>526</v>
      </c>
      <c r="C14" s="13" t="n">
        <f aca="false">C10+C11+C12</f>
        <v>-1714.191535</v>
      </c>
      <c r="D14" s="13" t="n">
        <f aca="false">D10+D11+D12</f>
        <v>-1689.41736705</v>
      </c>
      <c r="E14" s="13" t="n">
        <f aca="false">E10+E11+E12</f>
        <v>-1685.811105006</v>
      </c>
      <c r="F14" s="13" t="n">
        <f aca="false">F10+F11+F12</f>
        <v>-1693.49868969697</v>
      </c>
      <c r="G14" s="13" t="n">
        <f aca="false">G10+G11+G12</f>
        <v>-1739.70677030634</v>
      </c>
    </row>
    <row r="15" customFormat="false" ht="15" hidden="false" customHeight="false" outlineLevel="0" collapsed="false">
      <c r="A15" s="9" t="s">
        <v>38</v>
      </c>
      <c r="B15" s="14" t="n">
        <f aca="false">B14-B12</f>
        <v>938</v>
      </c>
      <c r="C15" s="14" t="n">
        <f aca="false">C14-C12</f>
        <v>-1295.75236</v>
      </c>
      <c r="D15" s="14" t="n">
        <f aca="false">D14-D12</f>
        <v>-1276.24247695</v>
      </c>
      <c r="E15" s="14" t="n">
        <f aca="false">E14-E12</f>
        <v>-1263.359945827</v>
      </c>
      <c r="F15" s="14" t="n">
        <f aca="false">F14-F12</f>
        <v>-1272.21243523867</v>
      </c>
      <c r="G15" s="14" t="n">
        <f aca="false">G14-G12</f>
        <v>-1306.84665242512</v>
      </c>
    </row>
    <row r="17" customFormat="false" ht="15" hidden="false" customHeight="false" outlineLevel="0" collapsed="false">
      <c r="A17" s="0" t="s">
        <v>39</v>
      </c>
      <c r="B17" s="10" t="n">
        <v>-146</v>
      </c>
      <c r="C17" s="11" t="n">
        <f aca="false">-'Balance Sheet'!B26*Assumptions!C19</f>
        <v>-40.14</v>
      </c>
      <c r="D17" s="11" t="n">
        <f aca="false">-'Balance Sheet'!C26*Assumptions!D19</f>
        <v>4.64399999999999</v>
      </c>
      <c r="E17" s="11" t="n">
        <f aca="false">-'Balance Sheet'!D26*Assumptions!E19</f>
        <v>4.428</v>
      </c>
      <c r="F17" s="11" t="n">
        <f aca="false">-'Balance Sheet'!E26*Assumptions!F19</f>
        <v>4.31999999999996</v>
      </c>
      <c r="G17" s="11" t="n">
        <f aca="false">-'Balance Sheet'!F26*Assumptions!G19</f>
        <v>4.31999999999995</v>
      </c>
    </row>
    <row r="18" customFormat="false" ht="15" hidden="false" customHeight="false" outlineLevel="0" collapsed="false">
      <c r="A18" s="9" t="s">
        <v>40</v>
      </c>
      <c r="B18" s="14" t="n">
        <f aca="false">B14+B17</f>
        <v>380</v>
      </c>
      <c r="C18" s="14" t="n">
        <f aca="false">C14+C17</f>
        <v>-1754.331535</v>
      </c>
      <c r="D18" s="14" t="n">
        <f aca="false">D14+D17</f>
        <v>-1684.77336705</v>
      </c>
      <c r="E18" s="14" t="n">
        <f aca="false">E14+E17</f>
        <v>-1681.383105006</v>
      </c>
      <c r="F18" s="14" t="n">
        <f aca="false">F14+F17</f>
        <v>-1689.17868969697</v>
      </c>
      <c r="G18" s="14" t="n">
        <f aca="false">G14+G17</f>
        <v>-1735.38677030634</v>
      </c>
    </row>
    <row r="19" customFormat="false" ht="15" hidden="false" customHeight="false" outlineLevel="0" collapsed="false">
      <c r="A19" s="0" t="s">
        <v>41</v>
      </c>
      <c r="B19" s="10" t="n">
        <v>-76</v>
      </c>
      <c r="C19" s="11" t="n">
        <f aca="false">-C18*Assumptions!C18</f>
        <v>350.866307</v>
      </c>
      <c r="D19" s="11" t="n">
        <f aca="false">-D18*Assumptions!D18</f>
        <v>336.95467341</v>
      </c>
      <c r="E19" s="11" t="n">
        <f aca="false">-E18*Assumptions!E18</f>
        <v>336.2766210012</v>
      </c>
      <c r="F19" s="11" t="n">
        <f aca="false">-F18*Assumptions!F18</f>
        <v>337.835737939395</v>
      </c>
      <c r="G19" s="11" t="n">
        <f aca="false">-G18*Assumptions!G18</f>
        <v>347.077354061267</v>
      </c>
    </row>
    <row r="21" customFormat="false" ht="15" hidden="false" customHeight="false" outlineLevel="0" collapsed="false">
      <c r="A21" s="12" t="s">
        <v>42</v>
      </c>
      <c r="B21" s="13" t="n">
        <f aca="false">B18+B19</f>
        <v>304</v>
      </c>
      <c r="C21" s="13" t="n">
        <f aca="false">C18+C19</f>
        <v>-1403.465228</v>
      </c>
      <c r="D21" s="13" t="n">
        <f aca="false">D18+D19</f>
        <v>-1347.81869364</v>
      </c>
      <c r="E21" s="13" t="n">
        <f aca="false">E18+E19</f>
        <v>-1345.1064840048</v>
      </c>
      <c r="F21" s="13" t="n">
        <f aca="false">F18+F19</f>
        <v>-1351.34295175758</v>
      </c>
      <c r="G21" s="13" t="n">
        <f aca="false">G18+G19</f>
        <v>-1388.30941624507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1"/>
  </cols>
  <sheetData>
    <row r="1" customFormat="false" ht="17.35" hidden="false" customHeight="false" outlineLevel="0" collapsed="false">
      <c r="A1" s="1" t="s">
        <v>43</v>
      </c>
    </row>
    <row r="3" customFormat="false" ht="15" hidden="false" customHeight="false" outlineLevel="0" collapsed="false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customFormat="false" ht="15" hidden="false" customHeight="false" outlineLevel="0" collapsed="false">
      <c r="A4" s="15" t="s">
        <v>44</v>
      </c>
    </row>
    <row r="5" customFormat="false" ht="15" hidden="false" customHeight="false" outlineLevel="0" collapsed="false">
      <c r="A5" s="0" t="s">
        <v>45</v>
      </c>
      <c r="B5" s="10" t="n">
        <v>1842</v>
      </c>
      <c r="C5" s="11" t="n">
        <f aca="false">B5-'Cash Flow'!C11+'Income Statement'!C12</f>
        <v>1818.08919</v>
      </c>
      <c r="D5" s="11" t="n">
        <f aca="false">C5-'Cash Flow'!D11+'Income Statement'!D12</f>
        <v>1793.7847847</v>
      </c>
      <c r="E5" s="11" t="n">
        <f aca="false">D5-'Cash Flow'!E11+'Income Statement'!E12</f>
        <v>1756.5096824195</v>
      </c>
      <c r="F5" s="11" t="n">
        <f aca="false">E5-'Cash Flow'!F11+'Income Statement'!F12</f>
        <v>1718.2109320142</v>
      </c>
      <c r="G5" s="11" t="n">
        <f aca="false">F5-'Cash Flow'!G11+'Income Statement'!G12</f>
        <v>1678.86001220682</v>
      </c>
    </row>
    <row r="6" customFormat="false" ht="15" hidden="false" customHeight="false" outlineLevel="0" collapsed="false">
      <c r="A6" s="0" t="s">
        <v>46</v>
      </c>
      <c r="B6" s="10" t="n">
        <v>3213</v>
      </c>
      <c r="C6" s="10" t="n">
        <v>3213</v>
      </c>
      <c r="D6" s="10" t="n">
        <v>3213</v>
      </c>
      <c r="E6" s="10" t="n">
        <v>3213</v>
      </c>
      <c r="F6" s="10" t="n">
        <v>3213</v>
      </c>
      <c r="G6" s="10" t="n">
        <v>3213</v>
      </c>
    </row>
    <row r="7" customFormat="false" ht="15" hidden="false" customHeight="false" outlineLevel="0" collapsed="false">
      <c r="A7" s="9" t="s">
        <v>47</v>
      </c>
      <c r="B7" s="14" t="n">
        <f aca="false">B5+B6</f>
        <v>5055</v>
      </c>
      <c r="C7" s="14" t="n">
        <f aca="false">C5+C6</f>
        <v>5031.08919</v>
      </c>
      <c r="D7" s="14" t="n">
        <f aca="false">D5+D6</f>
        <v>5006.7847847</v>
      </c>
      <c r="E7" s="14" t="n">
        <f aca="false">E5+E6</f>
        <v>4969.5096824195</v>
      </c>
      <c r="F7" s="14" t="n">
        <f aca="false">F5+F6</f>
        <v>4931.2109320142</v>
      </c>
      <c r="G7" s="14" t="n">
        <f aca="false">G5+G6</f>
        <v>4891.86001220682</v>
      </c>
    </row>
    <row r="9" customFormat="false" ht="15" hidden="false" customHeight="false" outlineLevel="0" collapsed="false">
      <c r="A9" s="0" t="s">
        <v>48</v>
      </c>
      <c r="B9" s="10" t="n">
        <v>1089</v>
      </c>
      <c r="C9" s="11" t="n">
        <f aca="false">'Income Statement'!C4*0.8/365*Assumptions!C23</f>
        <v>864.719704109589</v>
      </c>
      <c r="D9" s="11" t="n">
        <f aca="false">'Income Statement'!D4*0.8/365*Assumptions!D23</f>
        <v>852.318870794521</v>
      </c>
      <c r="E9" s="11" t="n">
        <f aca="false">'Income Statement'!E4*0.8/365*Assumptions!E23</f>
        <v>871.454446009863</v>
      </c>
      <c r="F9" s="11" t="n">
        <f aca="false">'Income Statement'!F4*0.8/365*Assumptions!F23</f>
        <v>867.405488631452</v>
      </c>
      <c r="G9" s="11" t="n">
        <f aca="false">'Income Statement'!G4*0.8/365*Assumptions!G23</f>
        <v>891.235444039373</v>
      </c>
    </row>
    <row r="10" customFormat="false" ht="15" hidden="false" customHeight="false" outlineLevel="0" collapsed="false">
      <c r="A10" s="0" t="s">
        <v>49</v>
      </c>
      <c r="B10" s="10" t="n">
        <v>687</v>
      </c>
      <c r="C10" s="11" t="n">
        <f aca="false">'Income Statement'!C4/365*Assumptions!C22</f>
        <v>687.845219178082</v>
      </c>
      <c r="D10" s="11" t="n">
        <f aca="false">'Income Statement'!D4/365*Assumptions!D22</f>
        <v>699.16782369863</v>
      </c>
      <c r="E10" s="11" t="n">
        <f aca="false">'Income Statement'!E4/365*Assumptions!E22</f>
        <v>680.823785945205</v>
      </c>
      <c r="F10" s="11" t="n">
        <f aca="false">'Income Statement'!F4/365*Assumptions!F22</f>
        <v>699.520555347945</v>
      </c>
      <c r="G10" s="11" t="n">
        <f aca="false">'Income Statement'!G4/365*Assumptions!G22</f>
        <v>718.738261322075</v>
      </c>
    </row>
    <row r="11" customFormat="false" ht="15" hidden="false" customHeight="false" outlineLevel="0" collapsed="false">
      <c r="A11" s="0" t="s">
        <v>50</v>
      </c>
      <c r="B11" s="10" t="n">
        <v>234</v>
      </c>
      <c r="C11" s="11" t="n">
        <f aca="false">B11+'Cash Flow'!C18</f>
        <v>-37.609317791781</v>
      </c>
      <c r="D11" s="11" t="n">
        <f aca="false">C11+'Cash Flow'!D18</f>
        <v>-265.399604452658</v>
      </c>
      <c r="E11" s="11" t="n">
        <f aca="false">D11+'Cash Flow'!E18</f>
        <v>-515.236213629248</v>
      </c>
      <c r="F11" s="11" t="n">
        <f aca="false">E11+'Cash Flow'!F18</f>
        <v>-800.254052919397</v>
      </c>
      <c r="G11" s="11" t="n">
        <f aca="false">F11+'Cash Flow'!G18</f>
        <v>-1092.29899678281</v>
      </c>
    </row>
    <row r="12" customFormat="false" ht="15" hidden="false" customHeight="false" outlineLevel="0" collapsed="false">
      <c r="A12" s="0" t="s">
        <v>51</v>
      </c>
      <c r="B12" s="10" t="n">
        <v>156</v>
      </c>
      <c r="C12" s="10" t="n">
        <v>156</v>
      </c>
      <c r="D12" s="10" t="n">
        <v>156</v>
      </c>
      <c r="E12" s="10" t="n">
        <v>156</v>
      </c>
      <c r="F12" s="10" t="n">
        <v>156</v>
      </c>
      <c r="G12" s="10" t="n">
        <v>156</v>
      </c>
    </row>
    <row r="13" customFormat="false" ht="15" hidden="false" customHeight="false" outlineLevel="0" collapsed="false">
      <c r="A13" s="9" t="s">
        <v>52</v>
      </c>
      <c r="B13" s="14" t="n">
        <f aca="false">SUM(B9:B12)</f>
        <v>2166</v>
      </c>
      <c r="C13" s="14" t="n">
        <f aca="false">SUM(C9:C12)</f>
        <v>1670.95560549589</v>
      </c>
      <c r="D13" s="14" t="n">
        <f aca="false">SUM(D9:D12)</f>
        <v>1442.08709004049</v>
      </c>
      <c r="E13" s="14" t="n">
        <f aca="false">SUM(E9:E12)</f>
        <v>1193.04201832582</v>
      </c>
      <c r="F13" s="14" t="n">
        <f aca="false">SUM(F9:F12)</f>
        <v>922.67199106</v>
      </c>
      <c r="G13" s="14" t="n">
        <f aca="false">SUM(G9:G12)</f>
        <v>673.674708578643</v>
      </c>
    </row>
    <row r="15" customFormat="false" ht="15" hidden="false" customHeight="false" outlineLevel="0" collapsed="false">
      <c r="A15" s="12" t="s">
        <v>53</v>
      </c>
      <c r="B15" s="13" t="n">
        <f aca="false">B7+B13</f>
        <v>7221</v>
      </c>
      <c r="C15" s="13" t="n">
        <f aca="false">C7+C13</f>
        <v>6702.04479549589</v>
      </c>
      <c r="D15" s="13" t="n">
        <f aca="false">D7+D13</f>
        <v>6448.87187474049</v>
      </c>
      <c r="E15" s="13" t="n">
        <f aca="false">E7+E13</f>
        <v>6162.55170074532</v>
      </c>
      <c r="F15" s="13" t="n">
        <f aca="false">F7+F13</f>
        <v>5853.8829230742</v>
      </c>
      <c r="G15" s="13" t="n">
        <f aca="false">G7+G13</f>
        <v>5565.53472078546</v>
      </c>
    </row>
    <row r="17" customFormat="false" ht="15" hidden="false" customHeight="false" outlineLevel="0" collapsed="false">
      <c r="A17" s="15" t="s">
        <v>54</v>
      </c>
    </row>
    <row r="18" customFormat="false" ht="15" hidden="false" customHeight="false" outlineLevel="0" collapsed="false">
      <c r="A18" s="0" t="s">
        <v>55</v>
      </c>
      <c r="B18" s="10" t="n">
        <v>197</v>
      </c>
      <c r="C18" s="10" t="n">
        <v>197</v>
      </c>
      <c r="D18" s="10" t="n">
        <v>197</v>
      </c>
      <c r="E18" s="10" t="n">
        <v>197</v>
      </c>
      <c r="F18" s="10" t="n">
        <v>197</v>
      </c>
      <c r="G18" s="10" t="n">
        <v>197</v>
      </c>
    </row>
    <row r="19" customFormat="false" ht="15" hidden="false" customHeight="false" outlineLevel="0" collapsed="false">
      <c r="A19" s="0" t="s">
        <v>56</v>
      </c>
      <c r="B19" s="10" t="n">
        <v>2856</v>
      </c>
      <c r="C19" s="11" t="n">
        <f aca="false">B19+'Income Statement'!C21+'Cash Flow'!C15</f>
        <v>2575.3069544</v>
      </c>
      <c r="D19" s="11" t="n">
        <f aca="false">C19+'Income Statement'!D21+'Cash Flow'!D15</f>
        <v>2305.743215672</v>
      </c>
      <c r="E19" s="11" t="n">
        <f aca="false">D19+'Income Statement'!E21+'Cash Flow'!E15</f>
        <v>1969.4665946708</v>
      </c>
      <c r="F19" s="11" t="n">
        <f aca="false">E19+'Income Statement'!F21+'Cash Flow'!F15</f>
        <v>1631.6308567314</v>
      </c>
      <c r="G19" s="11" t="n">
        <f aca="false">F19+'Income Statement'!G21+'Cash Flow'!G15</f>
        <v>1284.55350267014</v>
      </c>
    </row>
    <row r="20" customFormat="false" ht="15" hidden="false" customHeight="false" outlineLevel="0" collapsed="false">
      <c r="A20" s="0" t="s">
        <v>57</v>
      </c>
      <c r="B20" s="10" t="n">
        <v>523</v>
      </c>
      <c r="C20" s="10" t="n">
        <v>523</v>
      </c>
      <c r="D20" s="10" t="n">
        <v>523</v>
      </c>
      <c r="E20" s="10" t="n">
        <v>523</v>
      </c>
      <c r="F20" s="10" t="n">
        <v>523</v>
      </c>
      <c r="G20" s="10" t="n">
        <v>523</v>
      </c>
    </row>
    <row r="21" customFormat="false" ht="15" hidden="false" customHeight="false" outlineLevel="0" collapsed="false">
      <c r="A21" s="9" t="s">
        <v>58</v>
      </c>
      <c r="B21" s="14" t="n">
        <f aca="false">B18+B19+B20</f>
        <v>3576</v>
      </c>
      <c r="C21" s="14" t="n">
        <f aca="false">C18+C19+C20</f>
        <v>3295.3069544</v>
      </c>
      <c r="D21" s="14" t="n">
        <f aca="false">D18+D19+D20</f>
        <v>3025.743215672</v>
      </c>
      <c r="E21" s="14" t="n">
        <f aca="false">E18+E19+E20</f>
        <v>2689.4665946708</v>
      </c>
      <c r="F21" s="14" t="n">
        <f aca="false">F18+F19+F20</f>
        <v>2351.6308567314</v>
      </c>
      <c r="G21" s="14" t="n">
        <f aca="false">G18+G19+G20</f>
        <v>2004.55350267014</v>
      </c>
    </row>
    <row r="23" customFormat="false" ht="15" hidden="false" customHeight="false" outlineLevel="0" collapsed="false">
      <c r="A23" s="0" t="s">
        <v>59</v>
      </c>
      <c r="B23" s="10" t="n">
        <v>1598</v>
      </c>
      <c r="C23" s="10" t="n">
        <v>1598</v>
      </c>
      <c r="D23" s="10" t="n">
        <v>1598</v>
      </c>
      <c r="E23" s="10" t="n">
        <v>1598</v>
      </c>
      <c r="F23" s="10" t="n">
        <v>1598</v>
      </c>
      <c r="G23" s="10" t="n">
        <v>1598</v>
      </c>
    </row>
    <row r="24" customFormat="false" ht="15" hidden="false" customHeight="false" outlineLevel="0" collapsed="false">
      <c r="A24" s="0" t="s">
        <v>60</v>
      </c>
      <c r="B24" s="10" t="n">
        <v>1234</v>
      </c>
      <c r="C24" s="11" t="n">
        <f aca="false">'Income Statement'!C4*0.8/365*Assumptions!C24</f>
        <v>995.737841095891</v>
      </c>
      <c r="D24" s="11" t="n">
        <f aca="false">'Income Statement'!D4*0.8/365*Assumptions!D24</f>
        <v>1012.12865906849</v>
      </c>
      <c r="E24" s="11" t="n">
        <f aca="false">'Income Statement'!E4*0.8/365*Assumptions!E24</f>
        <v>1062.08510607452</v>
      </c>
      <c r="F24" s="11" t="n">
        <f aca="false">'Income Statement'!F4*0.8/365*Assumptions!F24</f>
        <v>1091.25206634279</v>
      </c>
      <c r="G24" s="11" t="n">
        <f aca="false">'Income Statement'!G4*0.8/365*Assumptions!G24</f>
        <v>1149.98121811532</v>
      </c>
    </row>
    <row r="25" customFormat="false" ht="15" hidden="false" customHeight="false" outlineLevel="0" collapsed="false">
      <c r="A25" s="0" t="s">
        <v>61</v>
      </c>
      <c r="B25" s="10" t="n">
        <v>921</v>
      </c>
      <c r="C25" s="10" t="n">
        <v>921</v>
      </c>
      <c r="D25" s="10" t="n">
        <v>921</v>
      </c>
      <c r="E25" s="10" t="n">
        <v>921</v>
      </c>
      <c r="F25" s="10" t="n">
        <v>921</v>
      </c>
      <c r="G25" s="10" t="n">
        <v>921</v>
      </c>
    </row>
    <row r="26" customFormat="false" ht="15" hidden="false" customHeight="false" outlineLevel="0" collapsed="false">
      <c r="A26" s="0" t="s">
        <v>62</v>
      </c>
      <c r="B26" s="10" t="n">
        <v>892</v>
      </c>
      <c r="C26" s="10" t="n">
        <f aca="false">C15-C21-C23-C24-C25</f>
        <v>-108</v>
      </c>
      <c r="D26" s="10" t="n">
        <f aca="false">D15-D21-D23-D24-D25</f>
        <v>-108</v>
      </c>
      <c r="E26" s="10" t="n">
        <f aca="false">E15-E21-E23-E24-E25</f>
        <v>-107.999999999999</v>
      </c>
      <c r="F26" s="10" t="n">
        <f aca="false">F15-F21-F23-F24-F25</f>
        <v>-107.999999999999</v>
      </c>
      <c r="G26" s="10" t="n">
        <f aca="false">G15-G21-G23-G24-G25</f>
        <v>-107.999999999999</v>
      </c>
    </row>
    <row r="28" customFormat="false" ht="15" hidden="false" customHeight="false" outlineLevel="0" collapsed="false">
      <c r="A28" s="12" t="s">
        <v>63</v>
      </c>
      <c r="B28" s="13" t="n">
        <f aca="false">B21+B23+B24+B25+B26</f>
        <v>8221</v>
      </c>
      <c r="C28" s="13" t="n">
        <f aca="false">C21+C23+C24+C25+C26</f>
        <v>6702.04479549589</v>
      </c>
      <c r="D28" s="13" t="n">
        <f aca="false">D21+D23+D24+D25+D26</f>
        <v>6448.87187474049</v>
      </c>
      <c r="E28" s="13" t="n">
        <f aca="false">E21+E23+E24+E25+E26</f>
        <v>6162.55170074532</v>
      </c>
      <c r="F28" s="13" t="n">
        <f aca="false">F21+F23+F24+F25+F26</f>
        <v>5853.8829230742</v>
      </c>
      <c r="G28" s="13" t="n">
        <f aca="false">G21+G23+G24+G25+G26</f>
        <v>5565.53472078546</v>
      </c>
    </row>
    <row r="30" customFormat="false" ht="15" hidden="false" customHeight="false" outlineLevel="0" collapsed="false">
      <c r="A30" s="0" t="s">
        <v>64</v>
      </c>
      <c r="B30" s="10" t="n">
        <f aca="false">B15-B28</f>
        <v>-1000</v>
      </c>
      <c r="C30" s="10" t="n">
        <f aca="false">C15-C28</f>
        <v>0</v>
      </c>
      <c r="D30" s="10" t="n">
        <f aca="false">D15-D28</f>
        <v>0</v>
      </c>
      <c r="E30" s="10" t="n">
        <f aca="false">E15-E28</f>
        <v>0</v>
      </c>
      <c r="F30" s="10" t="n">
        <f aca="false">F15-F28</f>
        <v>0</v>
      </c>
      <c r="G30" s="10" t="n">
        <f aca="false">G15-G28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1"/>
  </cols>
  <sheetData>
    <row r="1" customFormat="false" ht="17.35" hidden="false" customHeight="false" outlineLevel="0" collapsed="false">
      <c r="A1" s="1" t="s">
        <v>65</v>
      </c>
    </row>
    <row r="3" customFormat="false" ht="15" hidden="false" customHeight="false" outlineLevel="0" collapsed="false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customFormat="false" ht="15" hidden="false" customHeight="false" outlineLevel="0" collapsed="false">
      <c r="A4" s="15" t="s">
        <v>66</v>
      </c>
    </row>
    <row r="5" customFormat="false" ht="15" hidden="false" customHeight="false" outlineLevel="0" collapsed="false">
      <c r="A5" s="0" t="s">
        <v>42</v>
      </c>
      <c r="B5" s="10" t="n">
        <v>304</v>
      </c>
      <c r="C5" s="11" t="n">
        <f aca="false">'Income Statement'!C21</f>
        <v>-1403.465228</v>
      </c>
      <c r="D5" s="11" t="n">
        <f aca="false">'Income Statement'!D21</f>
        <v>-1347.81869364</v>
      </c>
      <c r="E5" s="11" t="n">
        <f aca="false">'Income Statement'!E21</f>
        <v>-1345.1064840048</v>
      </c>
      <c r="F5" s="11" t="n">
        <f aca="false">'Income Statement'!F21</f>
        <v>-1351.34295175758</v>
      </c>
      <c r="G5" s="11" t="n">
        <f aca="false">'Income Statement'!G21</f>
        <v>-1388.30941624507</v>
      </c>
    </row>
    <row r="6" customFormat="false" ht="15" hidden="false" customHeight="false" outlineLevel="0" collapsed="false">
      <c r="A6" s="0" t="s">
        <v>67</v>
      </c>
      <c r="B6" s="10" t="n">
        <v>412</v>
      </c>
      <c r="C6" s="11" t="n">
        <f aca="false">-'Income Statement'!C12</f>
        <v>418.439175</v>
      </c>
      <c r="D6" s="11" t="n">
        <f aca="false">-'Income Statement'!D12</f>
        <v>413.1748901</v>
      </c>
      <c r="E6" s="11" t="n">
        <f aca="false">-'Income Statement'!E12</f>
        <v>422.451159179</v>
      </c>
      <c r="F6" s="11" t="n">
        <f aca="false">-'Income Statement'!F12</f>
        <v>421.2862544583</v>
      </c>
      <c r="G6" s="11" t="n">
        <f aca="false">-'Income Statement'!G12</f>
        <v>432.86011788122</v>
      </c>
    </row>
    <row r="7" customFormat="false" ht="15" hidden="false" customHeight="false" outlineLevel="0" collapsed="false">
      <c r="A7" s="0" t="s">
        <v>68</v>
      </c>
      <c r="B7" s="10" t="n">
        <v>-45</v>
      </c>
      <c r="C7" s="11" t="n">
        <f aca="false">-('Balance Sheet'!C9-'Balance Sheet'!B9)-('Balance Sheet'!C10-'Balance Sheet'!B10)+('Balance Sheet'!C24-'Balance Sheet'!B24)</f>
        <v>-14.827082191781</v>
      </c>
      <c r="D7" s="11" t="n">
        <f aca="false">-('Balance Sheet'!D9-'Balance Sheet'!C9)-('Balance Sheet'!D10-'Balance Sheet'!C10)+('Balance Sheet'!D24-'Balance Sheet'!C24)</f>
        <v>17.4690467671234</v>
      </c>
      <c r="E7" s="11" t="n">
        <f aca="false">-('Balance Sheet'!E9-'Balance Sheet'!D9)-('Balance Sheet'!E10-'Balance Sheet'!D10)+('Balance Sheet'!E24-'Balance Sheet'!D24)</f>
        <v>49.1649095441097</v>
      </c>
      <c r="F7" s="11" t="n">
        <f aca="false">-('Balance Sheet'!F9-'Balance Sheet'!E9)-('Balance Sheet'!F10-'Balance Sheet'!E10)+('Balance Sheet'!F24-'Balance Sheet'!E24)</f>
        <v>14.5191482439452</v>
      </c>
      <c r="G7" s="11" t="n">
        <f aca="false">-('Balance Sheet'!G9-'Balance Sheet'!F9)-('Balance Sheet'!G10-'Balance Sheet'!F10)+('Balance Sheet'!G24-'Balance Sheet'!F24)</f>
        <v>15.6814903904747</v>
      </c>
    </row>
    <row r="8" customFormat="false" ht="15" hidden="false" customHeight="false" outlineLevel="0" collapsed="false">
      <c r="A8" s="12" t="s">
        <v>69</v>
      </c>
      <c r="B8" s="13" t="n">
        <f aca="false">B5+B6+B7</f>
        <v>671</v>
      </c>
      <c r="C8" s="13" t="n">
        <f aca="false">C5+C6+C7</f>
        <v>-999.853135191781</v>
      </c>
      <c r="D8" s="13" t="n">
        <f aca="false">D5+D6+D7</f>
        <v>-917.174756772877</v>
      </c>
      <c r="E8" s="13" t="n">
        <f aca="false">E5+E6+E7</f>
        <v>-873.49041528169</v>
      </c>
      <c r="F8" s="13" t="n">
        <f aca="false">F5+F6+F7</f>
        <v>-915.537549055335</v>
      </c>
      <c r="G8" s="13" t="n">
        <f aca="false">G5+G6+G7</f>
        <v>-939.767807973375</v>
      </c>
    </row>
    <row r="10" customFormat="false" ht="15" hidden="false" customHeight="false" outlineLevel="0" collapsed="false">
      <c r="A10" s="15" t="s">
        <v>70</v>
      </c>
    </row>
    <row r="11" customFormat="false" ht="15" hidden="false" customHeight="false" outlineLevel="0" collapsed="false">
      <c r="A11" s="0" t="s">
        <v>71</v>
      </c>
      <c r="B11" s="10" t="n">
        <v>-387</v>
      </c>
      <c r="C11" s="11" t="n">
        <f aca="false">-'Income Statement'!C4*Assumptions!C27</f>
        <v>-394.528365</v>
      </c>
      <c r="D11" s="11" t="n">
        <f aca="false">-'Income Statement'!D4*Assumptions!D27</f>
        <v>-388.8704848</v>
      </c>
      <c r="E11" s="11" t="n">
        <f aca="false">-'Income Statement'!E4*Assumptions!E27</f>
        <v>-385.1760568985</v>
      </c>
      <c r="F11" s="11" t="n">
        <f aca="false">-'Income Statement'!F4*Assumptions!F27</f>
        <v>-382.987504053</v>
      </c>
      <c r="G11" s="11" t="n">
        <f aca="false">-'Income Statement'!G4*Assumptions!G27</f>
        <v>-393.509198073836</v>
      </c>
    </row>
    <row r="12" customFormat="false" ht="15" hidden="false" customHeight="false" outlineLevel="0" collapsed="false">
      <c r="A12" s="12" t="s">
        <v>72</v>
      </c>
      <c r="B12" s="13" t="n">
        <f aca="false">B11</f>
        <v>-387</v>
      </c>
      <c r="C12" s="13" t="n">
        <f aca="false">C11</f>
        <v>-394.528365</v>
      </c>
      <c r="D12" s="13" t="n">
        <f aca="false">D11</f>
        <v>-388.8704848</v>
      </c>
      <c r="E12" s="13" t="n">
        <f aca="false">E11</f>
        <v>-385.1760568985</v>
      </c>
      <c r="F12" s="13" t="n">
        <f aca="false">F11</f>
        <v>-382.987504053</v>
      </c>
      <c r="G12" s="13" t="n">
        <f aca="false">G11</f>
        <v>-393.509198073836</v>
      </c>
    </row>
    <row r="14" customFormat="false" ht="15" hidden="false" customHeight="false" outlineLevel="0" collapsed="false">
      <c r="A14" s="15" t="s">
        <v>73</v>
      </c>
    </row>
    <row r="15" customFormat="false" ht="15" hidden="false" customHeight="false" outlineLevel="0" collapsed="false">
      <c r="A15" s="0" t="s">
        <v>74</v>
      </c>
      <c r="B15" s="10" t="n">
        <v>-323</v>
      </c>
      <c r="C15" s="11" t="n">
        <f aca="false">-'Income Statement'!C21*Assumptions!C28</f>
        <v>1122.7721824</v>
      </c>
      <c r="D15" s="11" t="n">
        <f aca="false">-'Income Statement'!D21*Assumptions!D28</f>
        <v>1078.254954912</v>
      </c>
      <c r="E15" s="11" t="n">
        <f aca="false">-'Income Statement'!E21*Assumptions!E28</f>
        <v>1008.8298630036</v>
      </c>
      <c r="F15" s="11" t="n">
        <f aca="false">-'Income Statement'!F21*Assumptions!F28</f>
        <v>1013.50721381818</v>
      </c>
      <c r="G15" s="11" t="n">
        <f aca="false">-'Income Statement'!G21*Assumptions!G28</f>
        <v>1041.2320621838</v>
      </c>
    </row>
    <row r="16" customFormat="false" ht="15" hidden="false" customHeight="false" outlineLevel="0" collapsed="false">
      <c r="A16" s="12" t="s">
        <v>75</v>
      </c>
      <c r="B16" s="13" t="n">
        <f aca="false">B15</f>
        <v>-323</v>
      </c>
      <c r="C16" s="13" t="n">
        <f aca="false">C15</f>
        <v>1122.7721824</v>
      </c>
      <c r="D16" s="13" t="n">
        <f aca="false">D15</f>
        <v>1078.254954912</v>
      </c>
      <c r="E16" s="13" t="n">
        <f aca="false">E15</f>
        <v>1008.8298630036</v>
      </c>
      <c r="F16" s="13" t="n">
        <f aca="false">F15</f>
        <v>1013.50721381818</v>
      </c>
      <c r="G16" s="13" t="n">
        <f aca="false">G15</f>
        <v>1041.2320621838</v>
      </c>
    </row>
    <row r="18" customFormat="false" ht="15" hidden="false" customHeight="false" outlineLevel="0" collapsed="false">
      <c r="A18" s="9" t="s">
        <v>76</v>
      </c>
      <c r="B18" s="14" t="n">
        <f aca="false">B8+B12+B16</f>
        <v>-39</v>
      </c>
      <c r="C18" s="14" t="n">
        <f aca="false">C8+C12+C16</f>
        <v>-271.609317791781</v>
      </c>
      <c r="D18" s="14" t="n">
        <f aca="false">D8+D12+D16</f>
        <v>-227.790286660877</v>
      </c>
      <c r="E18" s="14" t="n">
        <f aca="false">E8+E12+E16</f>
        <v>-249.83660917659</v>
      </c>
      <c r="F18" s="14" t="n">
        <f aca="false">F8+F12+F16</f>
        <v>-285.01783929015</v>
      </c>
      <c r="G18" s="14" t="n">
        <f aca="false">G8+G12+G16</f>
        <v>-292.044943863409</v>
      </c>
    </row>
    <row r="20" customFormat="false" ht="15" hidden="false" customHeight="false" outlineLevel="0" collapsed="false">
      <c r="A20" s="15" t="s">
        <v>77</v>
      </c>
    </row>
    <row r="21" customFormat="false" ht="15" hidden="false" customHeight="false" outlineLevel="0" collapsed="false">
      <c r="A21" s="12" t="s">
        <v>78</v>
      </c>
      <c r="B21" s="13" t="n">
        <f aca="false">B8+B12</f>
        <v>284</v>
      </c>
      <c r="C21" s="13" t="n">
        <f aca="false">C8+C12</f>
        <v>-1394.38150019178</v>
      </c>
      <c r="D21" s="13" t="n">
        <f aca="false">D8+D12</f>
        <v>-1306.04524157288</v>
      </c>
      <c r="E21" s="13" t="n">
        <f aca="false">E8+E12</f>
        <v>-1258.66647218019</v>
      </c>
      <c r="F21" s="13" t="n">
        <f aca="false">F8+F12</f>
        <v>-1298.52505310833</v>
      </c>
      <c r="G21" s="13" t="n">
        <f aca="false">G8+G12</f>
        <v>-1333.27700604721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7" min="2" style="0" width="11"/>
  </cols>
  <sheetData>
    <row r="1" customFormat="false" ht="17.35" hidden="false" customHeight="false" outlineLevel="0" collapsed="false">
      <c r="A1" s="1" t="s">
        <v>79</v>
      </c>
    </row>
    <row r="3" customFormat="false" ht="15" hidden="false" customHeight="false" outlineLevel="0" collapsed="false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customFormat="false" ht="15" hidden="false" customHeight="false" outlineLevel="0" collapsed="false">
      <c r="A4" s="4" t="s">
        <v>80</v>
      </c>
    </row>
    <row r="5" customFormat="false" ht="15" hidden="false" customHeight="false" outlineLevel="0" collapsed="false">
      <c r="A5" s="0" t="s">
        <v>81</v>
      </c>
      <c r="B5" s="5" t="n">
        <f aca="false">'Income Statement'!B14/'Income Statement'!B4</f>
        <v>0.0443619802648225</v>
      </c>
      <c r="C5" s="5" t="n">
        <f aca="false">'Income Statement'!C14/'Income Statement'!C4</f>
        <v>-0.143382138455368</v>
      </c>
      <c r="D5" s="5" t="n">
        <f aca="false">'Income Statement'!D14/'Income Statement'!D4</f>
        <v>-0.139021493938796</v>
      </c>
      <c r="E5" s="5" t="n">
        <f aca="false">'Income Statement'!E14/'Income Statement'!E4</f>
        <v>-0.135678589879114</v>
      </c>
      <c r="F5" s="5" t="n">
        <f aca="false">'Income Statement'!F14/'Income Statement'!F4</f>
        <v>-0.13265435596008</v>
      </c>
      <c r="G5" s="5" t="n">
        <f aca="false">'Income Statement'!G14/'Income Statement'!G4</f>
        <v>-0.132630198645057</v>
      </c>
    </row>
    <row r="6" customFormat="false" ht="15" hidden="false" customHeight="false" outlineLevel="0" collapsed="false">
      <c r="A6" s="0" t="s">
        <v>82</v>
      </c>
      <c r="B6" s="5" t="n">
        <f aca="false">'Income Statement'!B21/'Income Statement'!B4</f>
        <v>0.0256388631188328</v>
      </c>
      <c r="C6" s="5" t="n">
        <f aca="false">'Income Statement'!C21/'Income Statement'!C4</f>
        <v>-0.117391692544084</v>
      </c>
      <c r="D6" s="5" t="n">
        <f aca="false">'Income Statement'!D21/'Income Statement'!D4</f>
        <v>-0.110911472797074</v>
      </c>
      <c r="E6" s="5" t="n">
        <f aca="false">'Income Statement'!E21/'Income Statement'!E4</f>
        <v>-0.108257770069901</v>
      </c>
      <c r="F6" s="5" t="n">
        <f aca="false">'Income Statement'!F21/'Income Statement'!F4</f>
        <v>-0.105852770974787</v>
      </c>
      <c r="G6" s="5" t="n">
        <f aca="false">'Income Statement'!G21/'Income Statement'!G4</f>
        <v>-0.105840683499188</v>
      </c>
    </row>
    <row r="8" customFormat="false" ht="15" hidden="false" customHeight="false" outlineLevel="0" collapsed="false">
      <c r="A8" s="4" t="s">
        <v>83</v>
      </c>
    </row>
    <row r="9" customFormat="false" ht="15" hidden="false" customHeight="false" outlineLevel="0" collapsed="false">
      <c r="A9" s="0" t="s">
        <v>84</v>
      </c>
      <c r="B9" s="5" t="n">
        <f aca="false">'Income Statement'!B21/'Balance Sheet'!B21</f>
        <v>0.0850111856823266</v>
      </c>
      <c r="C9" s="5" t="n">
        <f aca="false">'Income Statement'!C21/'Balance Sheet'!C21</f>
        <v>-0.425898178051683</v>
      </c>
      <c r="D9" s="5" t="n">
        <f aca="false">'Income Statement'!D21/'Balance Sheet'!D21</f>
        <v>-0.445450455497645</v>
      </c>
      <c r="E9" s="5" t="n">
        <f aca="false">'Income Statement'!E21/'Balance Sheet'!E21</f>
        <v>-0.500138758618582</v>
      </c>
      <c r="F9" s="5" t="n">
        <f aca="false">'Income Statement'!F21/'Balance Sheet'!F21</f>
        <v>-0.57464076382968</v>
      </c>
      <c r="G9" s="5" t="n">
        <f aca="false">'Income Statement'!G21/'Balance Sheet'!G21</f>
        <v>-0.692577880508448</v>
      </c>
    </row>
    <row r="10" customFormat="false" ht="15" hidden="false" customHeight="false" outlineLevel="0" collapsed="false">
      <c r="A10" s="0" t="s">
        <v>85</v>
      </c>
      <c r="B10" s="5" t="n">
        <f aca="false">'Income Statement'!B21/'Balance Sheet'!B15</f>
        <v>0.042099432211605</v>
      </c>
      <c r="C10" s="5" t="n">
        <f aca="false">'Income Statement'!C21/'Balance Sheet'!C15</f>
        <v>-0.209408512002665</v>
      </c>
      <c r="D10" s="5" t="n">
        <f aca="false">'Income Statement'!D21/'Balance Sheet'!D15</f>
        <v>-0.209000693426591</v>
      </c>
      <c r="E10" s="5" t="n">
        <f aca="false">'Income Statement'!E21/'Balance Sheet'!E15</f>
        <v>-0.218271026244229</v>
      </c>
      <c r="F10" s="5" t="n">
        <f aca="false">'Income Statement'!F21/'Balance Sheet'!F15</f>
        <v>-0.230845571993079</v>
      </c>
      <c r="G10" s="5" t="n">
        <f aca="false">'Income Statement'!G21/'Balance Sheet'!G15</f>
        <v>-0.24944762469277</v>
      </c>
    </row>
    <row r="12" customFormat="false" ht="15" hidden="false" customHeight="false" outlineLevel="0" collapsed="false">
      <c r="A12" s="4" t="s">
        <v>86</v>
      </c>
    </row>
    <row r="13" customFormat="false" ht="15" hidden="false" customHeight="false" outlineLevel="0" collapsed="false">
      <c r="A13" s="0" t="s">
        <v>87</v>
      </c>
      <c r="B13" s="16" t="n">
        <f aca="false">('Balance Sheet'!B23+'Balance Sheet'!B26-'Balance Sheet'!B11)/'Income Statement'!B15</f>
        <v>2.40511727078891</v>
      </c>
      <c r="C13" s="16" t="n">
        <f aca="false">('Balance Sheet'!C23+'Balance Sheet'!C26-'Balance Sheet'!C11)/'Income Statement'!C15</f>
        <v>-1.17893616477132</v>
      </c>
      <c r="D13" s="16" t="n">
        <f aca="false">('Balance Sheet'!D23+'Balance Sheet'!D26-'Balance Sheet'!D11)/'Income Statement'!D15</f>
        <v>-1.37544364504131</v>
      </c>
      <c r="E13" s="16" t="n">
        <f aca="false">('Balance Sheet'!E23+'Balance Sheet'!E26-'Balance Sheet'!E11)/'Income Statement'!E15</f>
        <v>-1.5872247812294</v>
      </c>
      <c r="F13" s="16" t="n">
        <f aca="false">('Balance Sheet'!F23+'Balance Sheet'!F26-'Balance Sheet'!F11)/'Income Statement'!F15</f>
        <v>-1.80021354097968</v>
      </c>
      <c r="G13" s="16" t="n">
        <f aca="false">('Balance Sheet'!G23+'Balance Sheet'!G26-'Balance Sheet'!G11)/'Income Statement'!G15</f>
        <v>-1.97597705284766</v>
      </c>
    </row>
    <row r="14" customFormat="false" ht="15" hidden="false" customHeight="false" outlineLevel="0" collapsed="false">
      <c r="A14" s="0" t="s">
        <v>88</v>
      </c>
      <c r="B14" s="16" t="n">
        <f aca="false">('Balance Sheet'!B23+'Balance Sheet'!B26)/'Balance Sheet'!B21</f>
        <v>0.696308724832215</v>
      </c>
      <c r="C14" s="16" t="n">
        <f aca="false">('Balance Sheet'!C23+'Balance Sheet'!C26)/'Balance Sheet'!C21</f>
        <v>0.452158181504307</v>
      </c>
      <c r="D14" s="16" t="n">
        <f aca="false">('Balance Sheet'!D23+'Balance Sheet'!D26)/'Balance Sheet'!D21</f>
        <v>0.492440995085923</v>
      </c>
      <c r="E14" s="16" t="n">
        <f aca="false">('Balance Sheet'!E23+'Balance Sheet'!E26)/'Balance Sheet'!E21</f>
        <v>0.554013202079717</v>
      </c>
      <c r="F14" s="16" t="n">
        <f aca="false">('Balance Sheet'!F23+'Balance Sheet'!F26)/'Balance Sheet'!F21</f>
        <v>0.633602844483421</v>
      </c>
      <c r="G14" s="16" t="n">
        <f aca="false">('Balance Sheet'!G23+'Balance Sheet'!G26)/'Balance Sheet'!G21</f>
        <v>0.743307673262533</v>
      </c>
    </row>
    <row r="16" customFormat="false" ht="15" hidden="false" customHeight="false" outlineLevel="0" collapsed="false">
      <c r="A16" s="4" t="s">
        <v>89</v>
      </c>
    </row>
    <row r="17" customFormat="false" ht="15" hidden="false" customHeight="false" outlineLevel="0" collapsed="false">
      <c r="A17" s="0" t="s">
        <v>90</v>
      </c>
      <c r="B17" s="17" t="n">
        <f aca="false">'Cash Flow'!B21</f>
        <v>284</v>
      </c>
      <c r="C17" s="17" t="n">
        <f aca="false">'Cash Flow'!C21</f>
        <v>-1394.38150019178</v>
      </c>
      <c r="D17" s="17" t="n">
        <f aca="false">'Cash Flow'!D21</f>
        <v>-1306.04524157288</v>
      </c>
      <c r="E17" s="17" t="n">
        <f aca="false">'Cash Flow'!E21</f>
        <v>-1258.66647218019</v>
      </c>
      <c r="F17" s="17" t="n">
        <f aca="false">'Cash Flow'!F21</f>
        <v>-1298.52505310833</v>
      </c>
      <c r="G17" s="17" t="n">
        <f aca="false">'Cash Flow'!G21</f>
        <v>-1333.27700604721</v>
      </c>
    </row>
    <row r="18" customFormat="false" ht="15" hidden="false" customHeight="false" outlineLevel="0" collapsed="false">
      <c r="A18" s="0" t="s">
        <v>33</v>
      </c>
      <c r="B18" s="5" t="n">
        <f aca="false">'Income Statement'!B8</f>
        <v>-0.009</v>
      </c>
      <c r="C18" s="5" t="n">
        <f aca="false">'Income Statement'!C8</f>
        <v>0.00829931685923932</v>
      </c>
      <c r="D18" s="5" t="n">
        <f aca="false">'Income Statement'!D8</f>
        <v>0.0164609772734592</v>
      </c>
      <c r="E18" s="5" t="n">
        <f aca="false">'Income Statement'!E8</f>
        <v>0.0224511927062044</v>
      </c>
      <c r="F18" s="5" t="n">
        <f aca="false">'Income Statement'!F8</f>
        <v>0.0274619803078449</v>
      </c>
      <c r="G18" s="5" t="n">
        <f aca="false">'Income Statement'!G8</f>
        <v>0.0274726822924756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2026-01-16T12:02:21Z</dcterms:created>
  <dc:creator>openpyxl</dc:creator>
  <dc:description/>
  <dc:language>en-US</dc:language>
  <cp:lastModifiedBy/>
  <dcterms:modified xsi:type="dcterms:W3CDTF">2026-01-16T12:02:21Z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